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ase" sheetId="2" state="visible" r:id="rId2"/>
    <sheet xmlns:r="http://schemas.openxmlformats.org/officeDocument/2006/relationships" name="Option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4" fillId="0" borderId="0" pivotButton="0" quotePrefix="0" xfId="0"/>
    <xf numFmtId="164" fontId="8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3" fillId="0" borderId="0" pivotButton="0" quotePrefix="0" xfId="0"/>
    <xf numFmtId="9" fontId="5" fillId="2" borderId="1" applyAlignment="1" pivotButton="0" quotePrefix="0" xfId="0">
      <alignment horizontal="right"/>
    </xf>
    <xf numFmtId="0" fontId="6" fillId="3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left"/>
    </xf>
    <xf numFmtId="0" fontId="3" fillId="4" borderId="1" applyAlignment="1" pivotButton="0" quotePrefix="0" xfId="0">
      <alignment horizontal="center"/>
    </xf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0" fontId="7" fillId="3" borderId="0" pivotButton="0" quotePrefix="0" xfId="0"/>
    <xf numFmtId="164" fontId="7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</cols>
  <sheetData>
    <row r="1">
      <c r="A1" s="1" t="inlineStr">
        <is>
          <t>DON26BX03-NP002 — Phase I Cost Summary</t>
        </is>
      </c>
    </row>
    <row r="2">
      <c r="A2" s="2" t="inlineStr">
        <is>
          <t>Immobileyes, Inc. (WOSB) · NAVAIR &amp; NAVSEA Open Topic for Counter-UAS · Adaptive Optical Countermeasures (GHOST/STORM/DEXTER)</t>
        </is>
      </c>
    </row>
    <row r="4">
      <c r="A4" s="3" t="inlineStr">
        <is>
          <t>Period</t>
        </is>
      </c>
      <c r="B4" s="4" t="inlineStr">
        <is>
          <t>Proposed Price</t>
        </is>
      </c>
      <c r="C4" s="5" t="inlineStr">
        <is>
          <t>Topic Ceiling (NTE)</t>
        </is>
      </c>
    </row>
    <row r="5">
      <c r="A5" s="6" t="inlineStr">
        <is>
          <t>Phase I Base (6 mo)</t>
        </is>
      </c>
      <c r="B5" s="7">
        <f>'Base'!E29</f>
        <v>199501.73005</v>
      </c>
      <c r="C5" s="8" t="n">
        <v>200000</v>
      </c>
    </row>
    <row r="6">
      <c r="A6" s="6" t="inlineStr">
        <is>
          <t>Phase I Option (6 mo)</t>
        </is>
      </c>
      <c r="B6" s="7">
        <f>'Option'!E30</f>
        <v>114464.25473</v>
      </c>
      <c r="C6" s="8" t="n">
        <v>115000</v>
      </c>
    </row>
    <row r="7">
      <c r="A7" s="9" t="inlineStr">
        <is>
          <t>Phase I TOTAL (Base + Option)</t>
        </is>
      </c>
      <c r="B7" s="7">
        <f>'Base'!E29+'Option'!E30</f>
        <v>313965.98478</v>
      </c>
      <c r="C7" s="8" t="n">
        <v>315000</v>
      </c>
    </row>
    <row r="9">
      <c r="A9" s="2" t="inlineStr">
        <is>
          <t>All indirect rates are Immobileyes actuals (Fringe 35% · Labor OH 77% · G&amp;A 40% · Fee 7%); magnitudes scaled to the Navy Phase I ceilings. No subcontracts in Base/Option.</t>
        </is>
      </c>
    </row>
  </sheetData>
  <mergeCells count="3">
    <mergeCell ref="A1:C1"/>
    <mergeCell ref="A9:C9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0" customWidth="1" min="4" max="4"/>
    <col width="16" customWidth="1" min="5" max="5"/>
  </cols>
  <sheetData>
    <row r="1">
      <c r="A1" s="1" t="inlineStr">
        <is>
          <t>Phase I — BASE  (6 months, NTE $200,000)</t>
        </is>
      </c>
    </row>
    <row r="2">
      <c r="A2" s="2" t="inlineStr">
        <is>
          <t>Immobileyes, Inc. (WOSB) · UEI KL3MJVGD9XZ9 · CAGE 8KQ82 · 30,000 sq-ft ISO-9001 facility, Kent OH · DON26BX03-NP002 NAVAIR/NAVSEA C-UAS</t>
        </is>
      </c>
    </row>
    <row r="4">
      <c r="A4" s="9" t="inlineStr">
        <is>
          <t>INDIRECT RATES (firm-wide; source: Immobileyes TACFI Vol.3 cost methodology)</t>
        </is>
      </c>
    </row>
    <row r="5">
      <c r="A5" s="6" t="inlineStr">
        <is>
          <t>Fringe Benefits  (× direct labor)</t>
        </is>
      </c>
      <c r="C5" s="10" t="n">
        <v>0.35</v>
      </c>
    </row>
    <row r="6">
      <c r="A6" s="6" t="inlineStr">
        <is>
          <t>Labor Overhead  (× labor + fringe)</t>
        </is>
      </c>
      <c r="C6" s="10" t="n">
        <v>0.77</v>
      </c>
    </row>
    <row r="7">
      <c r="A7" s="6" t="inlineStr">
        <is>
          <t>G&amp;A  (× burdened labor + materials + ODC)</t>
        </is>
      </c>
      <c r="C7" s="10" t="n">
        <v>0.4</v>
      </c>
    </row>
    <row r="8">
      <c r="A8" s="6" t="inlineStr">
        <is>
          <t>Fee / Profit  (× total cost)</t>
        </is>
      </c>
      <c r="C8" s="10" t="n">
        <v>0.07000000000000001</v>
      </c>
    </row>
    <row r="10">
      <c r="A10" s="11" t="inlineStr">
        <is>
          <t>A.  DIRECT LABOR</t>
        </is>
      </c>
      <c r="B10" s="12" t="n"/>
      <c r="C10" s="12" t="n"/>
      <c r="D10" s="12" t="n"/>
      <c r="E10" s="12" t="n"/>
    </row>
    <row r="11">
      <c r="A11" s="13" t="inlineStr">
        <is>
          <t>Labor Category</t>
        </is>
      </c>
      <c r="B11" s="13" t="inlineStr">
        <is>
          <t>Name / Assignment</t>
        </is>
      </c>
      <c r="C11" s="14" t="inlineStr">
        <is>
          <t>Rate ($/hr)</t>
        </is>
      </c>
      <c r="D11" s="14" t="inlineStr">
        <is>
          <t>Hours</t>
        </is>
      </c>
      <c r="E11" s="14" t="inlineStr">
        <is>
          <t>Direct Labor ($)</t>
        </is>
      </c>
    </row>
    <row r="12">
      <c r="A12" s="6" t="inlineStr">
        <is>
          <t>Principal Investigator</t>
        </is>
      </c>
      <c r="B12" s="6" t="inlineStr">
        <is>
          <t>Dr. Bahman Taheri</t>
        </is>
      </c>
      <c r="C12" s="15" t="n">
        <v>63</v>
      </c>
      <c r="D12" s="16" t="n">
        <v>250</v>
      </c>
      <c r="E12" s="17">
        <f>C12*D12</f>
        <v>15750.0</v>
      </c>
    </row>
    <row r="13">
      <c r="A13" s="6" t="inlineStr">
        <is>
          <t>Senior Optical Engineer</t>
        </is>
      </c>
      <c r="B13" s="6" t="inlineStr">
        <is>
          <t>Optical effects lead</t>
        </is>
      </c>
      <c r="C13" s="15" t="n">
        <v>50</v>
      </c>
      <c r="D13" s="16" t="n">
        <v>320</v>
      </c>
      <c r="E13" s="17">
        <f>C13*D13</f>
        <v>16000.0</v>
      </c>
    </row>
    <row r="14">
      <c r="A14" s="6" t="inlineStr">
        <is>
          <t>Electrical Engineer</t>
        </is>
      </c>
      <c r="B14" s="6" t="inlineStr">
        <is>
          <t>Beam-router electronics</t>
        </is>
      </c>
      <c r="C14" s="15" t="n">
        <v>45</v>
      </c>
      <c r="D14" s="16" t="n">
        <v>200</v>
      </c>
      <c r="E14" s="17">
        <f>C14*D14</f>
        <v>9000.0</v>
      </c>
    </row>
    <row r="15">
      <c r="A15" s="6" t="inlineStr">
        <is>
          <t>Software Engineer</t>
        </is>
      </c>
      <c r="B15" s="6" t="inlineStr">
        <is>
          <t>STORM tracking / control</t>
        </is>
      </c>
      <c r="C15" s="15" t="n">
        <v>45</v>
      </c>
      <c r="D15" s="16" t="n">
        <v>140</v>
      </c>
      <c r="E15" s="17">
        <f>C15*D15</f>
        <v>6300.0</v>
      </c>
    </row>
    <row r="16">
      <c r="A16" s="6" t="inlineStr">
        <is>
          <t>Program Manager</t>
        </is>
      </c>
      <c r="B16" s="6" t="inlineStr">
        <is>
          <t>Atossa Alavi</t>
        </is>
      </c>
      <c r="C16" s="15" t="n">
        <v>50</v>
      </c>
      <c r="D16" s="16" t="n">
        <v>90</v>
      </c>
      <c r="E16" s="17">
        <f>C16*D16</f>
        <v>4500.0</v>
      </c>
    </row>
    <row r="17">
      <c r="A17" s="9" t="inlineStr">
        <is>
          <t>Total Direct Labor</t>
        </is>
      </c>
      <c r="D17" s="18">
        <f>SUM(D12:D16)</f>
        <v>1000.0</v>
      </c>
      <c r="E17" s="19">
        <f>SUM(E12:E16)</f>
        <v>51550.0</v>
      </c>
    </row>
    <row r="19">
      <c r="A19" s="11" t="inlineStr">
        <is>
          <t>B.  INDIRECT COSTS, MATERIALS &amp; FEE</t>
        </is>
      </c>
      <c r="B19" s="12" t="n"/>
      <c r="C19" s="12" t="n"/>
      <c r="D19" s="12" t="n"/>
      <c r="E19" s="12" t="n"/>
    </row>
    <row r="20">
      <c r="A20" s="6" t="inlineStr">
        <is>
          <t>Fringe Benefits</t>
        </is>
      </c>
      <c r="E20" s="17">
        <f>E17*C5</f>
        <v>18042.5</v>
      </c>
    </row>
    <row r="21">
      <c r="A21" s="6" t="inlineStr">
        <is>
          <t>Labor Overhead</t>
        </is>
      </c>
      <c r="E21" s="17">
        <f>(E17+E20)*C6</f>
        <v>53586.225</v>
      </c>
    </row>
    <row r="22">
      <c r="A22" s="9" t="inlineStr">
        <is>
          <t>Total Burdened Labor</t>
        </is>
      </c>
      <c r="E22" s="19">
        <f>E17+E20+E21</f>
        <v>123178.725</v>
      </c>
    </row>
    <row r="23">
      <c r="A23" s="6" t="inlineStr">
        <is>
          <t>Materials &amp; Supplies</t>
        </is>
      </c>
      <c r="B23" s="2" t="inlineStr">
        <is>
          <t>EO/FPV test cameras, optics, laser diodes, LC samples</t>
        </is>
      </c>
      <c r="E23" s="15" t="n">
        <v>7000</v>
      </c>
    </row>
    <row r="24">
      <c r="A24" s="6" t="inlineStr">
        <is>
          <t>Travel / ODC</t>
        </is>
      </c>
      <c r="B24" s="2" t="inlineStr">
        <is>
          <t>Kick-off @ NAVAIR/NAVSEA; Tinker coordination</t>
        </is>
      </c>
      <c r="E24" s="15" t="n">
        <v>3000</v>
      </c>
    </row>
    <row r="25">
      <c r="A25" s="6" t="inlineStr">
        <is>
          <t>G&amp;A Base (burdened labor + materials + ODC)</t>
        </is>
      </c>
      <c r="E25" s="20">
        <f>E22+E23+E24</f>
        <v>133178.725</v>
      </c>
    </row>
    <row r="26">
      <c r="A26" s="6" t="inlineStr">
        <is>
          <t>G&amp;A</t>
        </is>
      </c>
      <c r="E26" s="17">
        <f>E25*C7</f>
        <v>53271.49</v>
      </c>
    </row>
    <row r="27">
      <c r="A27" s="9" t="inlineStr">
        <is>
          <t>Total Cost</t>
        </is>
      </c>
      <c r="E27" s="19">
        <f>E25+E26</f>
        <v>186450.215</v>
      </c>
    </row>
    <row r="28">
      <c r="A28" s="6" t="inlineStr">
        <is>
          <t>Fee / Profit</t>
        </is>
      </c>
      <c r="E28" s="17">
        <f>E27*C8</f>
        <v>13051.51505</v>
      </c>
    </row>
    <row r="29">
      <c r="A29" s="21" t="inlineStr">
        <is>
          <t>TOTAL PROPOSED PRICE — BASE  (6 months, NTE $200,000)</t>
        </is>
      </c>
      <c r="B29" s="12" t="n"/>
      <c r="C29" s="12" t="n"/>
      <c r="D29" s="12" t="n"/>
      <c r="E29" s="22">
        <f>E27+E28</f>
        <v>199501.73005</v>
      </c>
    </row>
    <row r="31">
      <c r="A31" s="6" t="inlineStr">
        <is>
          <t>Topic ceiling (NTE)</t>
        </is>
      </c>
      <c r="E31" s="23" t="n">
        <v>200000</v>
      </c>
    </row>
    <row r="32">
      <c r="A32" s="6" t="inlineStr">
        <is>
          <t>Margin under ceiling</t>
        </is>
      </c>
      <c r="E32" s="24">
        <f>E31-E29</f>
        <v>498.26995</v>
      </c>
    </row>
  </sheetData>
  <mergeCells count="5">
    <mergeCell ref="A4:E4"/>
    <mergeCell ref="A2:E2"/>
    <mergeCell ref="B23:D23"/>
    <mergeCell ref="A1:E1"/>
    <mergeCell ref="B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0" customWidth="1" min="4" max="4"/>
    <col width="16" customWidth="1" min="5" max="5"/>
  </cols>
  <sheetData>
    <row r="1">
      <c r="A1" s="1" t="inlineStr">
        <is>
          <t>Phase I — OPTION  (6 months, NTE $115,000)</t>
        </is>
      </c>
    </row>
    <row r="2">
      <c r="A2" s="2" t="inlineStr">
        <is>
          <t>Immobileyes, Inc. (WOSB) · UEI KL3MJVGD9XZ9 · CAGE 8KQ82 · 30,000 sq-ft ISO-9001 facility, Kent OH · DON26BX03-NP002 NAVAIR/NAVSEA C-UAS</t>
        </is>
      </c>
    </row>
    <row r="4">
      <c r="A4" s="9" t="inlineStr">
        <is>
          <t>INDIRECT RATES (firm-wide; source: Immobileyes TACFI Vol.3 cost methodology)</t>
        </is>
      </c>
    </row>
    <row r="5">
      <c r="A5" s="6" t="inlineStr">
        <is>
          <t>Fringe Benefits  (× direct labor)</t>
        </is>
      </c>
      <c r="C5" s="10" t="n">
        <v>0.35</v>
      </c>
    </row>
    <row r="6">
      <c r="A6" s="6" t="inlineStr">
        <is>
          <t>Labor Overhead  (× labor + fringe)</t>
        </is>
      </c>
      <c r="C6" s="10" t="n">
        <v>0.77</v>
      </c>
    </row>
    <row r="7">
      <c r="A7" s="6" t="inlineStr">
        <is>
          <t>G&amp;A  (× burdened labor + materials + ODC)</t>
        </is>
      </c>
      <c r="C7" s="10" t="n">
        <v>0.4</v>
      </c>
    </row>
    <row r="8">
      <c r="A8" s="6" t="inlineStr">
        <is>
          <t>Fee / Profit  (× total cost)</t>
        </is>
      </c>
      <c r="C8" s="10" t="n">
        <v>0.07000000000000001</v>
      </c>
    </row>
    <row r="10">
      <c r="A10" s="11" t="inlineStr">
        <is>
          <t>A.  DIRECT LABOR</t>
        </is>
      </c>
      <c r="B10" s="12" t="n"/>
      <c r="C10" s="12" t="n"/>
      <c r="D10" s="12" t="n"/>
      <c r="E10" s="12" t="n"/>
    </row>
    <row r="11">
      <c r="A11" s="13" t="inlineStr">
        <is>
          <t>Labor Category</t>
        </is>
      </c>
      <c r="B11" s="13" t="inlineStr">
        <is>
          <t>Name / Assignment</t>
        </is>
      </c>
      <c r="C11" s="14" t="inlineStr">
        <is>
          <t>Rate ($/hr)</t>
        </is>
      </c>
      <c r="D11" s="14" t="inlineStr">
        <is>
          <t>Hours</t>
        </is>
      </c>
      <c r="E11" s="14" t="inlineStr">
        <is>
          <t>Direct Labor ($)</t>
        </is>
      </c>
    </row>
    <row r="12">
      <c r="A12" s="6" t="inlineStr">
        <is>
          <t>Principal Investigator</t>
        </is>
      </c>
      <c r="B12" s="6" t="inlineStr">
        <is>
          <t>Dr. Bahman Taheri</t>
        </is>
      </c>
      <c r="C12" s="15" t="n">
        <v>63</v>
      </c>
      <c r="D12" s="16" t="n">
        <v>110</v>
      </c>
      <c r="E12" s="17">
        <f>C12*D12</f>
        <v>6930.0</v>
      </c>
    </row>
    <row r="13">
      <c r="A13" s="6" t="inlineStr">
        <is>
          <t>Senior Optical Engineer</t>
        </is>
      </c>
      <c r="B13" s="6" t="inlineStr">
        <is>
          <t>Optical effects lead</t>
        </is>
      </c>
      <c r="C13" s="15" t="n">
        <v>50</v>
      </c>
      <c r="D13" s="16" t="n">
        <v>200</v>
      </c>
      <c r="E13" s="17">
        <f>C13*D13</f>
        <v>10000.0</v>
      </c>
    </row>
    <row r="14">
      <c r="A14" s="6" t="inlineStr">
        <is>
          <t>Electrical Engineer</t>
        </is>
      </c>
      <c r="B14" s="6" t="inlineStr">
        <is>
          <t>Breadboard electronics</t>
        </is>
      </c>
      <c r="C14" s="15" t="n">
        <v>45</v>
      </c>
      <c r="D14" s="16" t="n">
        <v>110</v>
      </c>
      <c r="E14" s="17">
        <f>C14*D14</f>
        <v>4950.0</v>
      </c>
    </row>
    <row r="15">
      <c r="A15" s="6" t="inlineStr">
        <is>
          <t>Mechanical Engineer</t>
        </is>
      </c>
      <c r="B15" s="6" t="inlineStr">
        <is>
          <t>Breadboard fabrication</t>
        </is>
      </c>
      <c r="C15" s="15" t="n">
        <v>35</v>
      </c>
      <c r="D15" s="16" t="n">
        <v>90</v>
      </c>
      <c r="E15" s="17">
        <f>C15*D15</f>
        <v>3150.0</v>
      </c>
    </row>
    <row r="16">
      <c r="A16" s="6" t="inlineStr">
        <is>
          <t>Machine-shop Operator</t>
        </is>
      </c>
      <c r="B16" s="6" t="inlineStr">
        <is>
          <t>Fabrication</t>
        </is>
      </c>
      <c r="C16" s="15" t="n">
        <v>30</v>
      </c>
      <c r="D16" s="16" t="n">
        <v>60</v>
      </c>
      <c r="E16" s="17">
        <f>C16*D16</f>
        <v>1800.0</v>
      </c>
    </row>
    <row r="17">
      <c r="A17" s="6" t="inlineStr">
        <is>
          <t>Software Engineer</t>
        </is>
      </c>
      <c r="B17" s="6" t="inlineStr">
        <is>
          <t>Test automation</t>
        </is>
      </c>
      <c r="C17" s="15" t="n">
        <v>45</v>
      </c>
      <c r="D17" s="16" t="n">
        <v>40</v>
      </c>
      <c r="E17" s="17">
        <f>C17*D17</f>
        <v>1800.0</v>
      </c>
    </row>
    <row r="18">
      <c r="A18" s="9" t="inlineStr">
        <is>
          <t>Total Direct Labor</t>
        </is>
      </c>
      <c r="D18" s="18">
        <f>SUM(D12:D17)</f>
        <v>610.0</v>
      </c>
      <c r="E18" s="19">
        <f>SUM(E12:E17)</f>
        <v>28630.0</v>
      </c>
    </row>
    <row r="20">
      <c r="A20" s="11" t="inlineStr">
        <is>
          <t>B.  INDIRECT COSTS, MATERIALS &amp; FEE</t>
        </is>
      </c>
      <c r="B20" s="12" t="n"/>
      <c r="C20" s="12" t="n"/>
      <c r="D20" s="12" t="n"/>
      <c r="E20" s="12" t="n"/>
    </row>
    <row r="21">
      <c r="A21" s="6" t="inlineStr">
        <is>
          <t>Fringe Benefits</t>
        </is>
      </c>
      <c r="E21" s="17">
        <f>E18*C5</f>
        <v>10020.5</v>
      </c>
    </row>
    <row r="22">
      <c r="A22" s="6" t="inlineStr">
        <is>
          <t>Labor Overhead</t>
        </is>
      </c>
      <c r="E22" s="17">
        <f>(E18+E21)*C6</f>
        <v>29760.885</v>
      </c>
    </row>
    <row r="23">
      <c r="A23" s="9" t="inlineStr">
        <is>
          <t>Total Burdened Labor</t>
        </is>
      </c>
      <c r="E23" s="19">
        <f>E18+E21+E22</f>
        <v>68411.385</v>
      </c>
    </row>
    <row r="24">
      <c r="A24" s="6" t="inlineStr">
        <is>
          <t>Materials &amp; Supplies</t>
        </is>
      </c>
      <c r="B24" s="2" t="inlineStr">
        <is>
          <t>Breadboard optics, LC beam-router cells, laser, mounts</t>
        </is>
      </c>
      <c r="E24" s="15" t="n">
        <v>6000</v>
      </c>
    </row>
    <row r="25">
      <c r="A25" s="6" t="inlineStr">
        <is>
          <t>Travel / ODC</t>
        </is>
      </c>
      <c r="B25" s="2" t="inlineStr">
        <is>
          <t>Phase II transition review</t>
        </is>
      </c>
      <c r="E25" s="15" t="n">
        <v>2000</v>
      </c>
    </row>
    <row r="26">
      <c r="A26" s="6" t="inlineStr">
        <is>
          <t>G&amp;A Base (burdened labor + materials + ODC)</t>
        </is>
      </c>
      <c r="E26" s="20">
        <f>E23+E24+E25</f>
        <v>76411.385</v>
      </c>
    </row>
    <row r="27">
      <c r="A27" s="6" t="inlineStr">
        <is>
          <t>G&amp;A</t>
        </is>
      </c>
      <c r="E27" s="17">
        <f>E26*C7</f>
        <v>30564.554</v>
      </c>
    </row>
    <row r="28">
      <c r="A28" s="9" t="inlineStr">
        <is>
          <t>Total Cost</t>
        </is>
      </c>
      <c r="E28" s="19">
        <f>E26+E27</f>
        <v>106975.939</v>
      </c>
    </row>
    <row r="29">
      <c r="A29" s="6" t="inlineStr">
        <is>
          <t>Fee / Profit</t>
        </is>
      </c>
      <c r="E29" s="17">
        <f>E28*C8</f>
        <v>7488.31573</v>
      </c>
    </row>
    <row r="30">
      <c r="A30" s="21" t="inlineStr">
        <is>
          <t>TOTAL PROPOSED PRICE — OPTION  (6 months, NTE $115,000)</t>
        </is>
      </c>
      <c r="B30" s="12" t="n"/>
      <c r="C30" s="12" t="n"/>
      <c r="D30" s="12" t="n"/>
      <c r="E30" s="22">
        <f>E28+E29</f>
        <v>114464.25473</v>
      </c>
    </row>
    <row r="32">
      <c r="A32" s="6" t="inlineStr">
        <is>
          <t>Topic ceiling (NTE)</t>
        </is>
      </c>
      <c r="E32" s="23" t="n">
        <v>115000</v>
      </c>
    </row>
    <row r="33">
      <c r="A33" s="6" t="inlineStr">
        <is>
          <t>Margin under ceiling</t>
        </is>
      </c>
      <c r="E33" s="24">
        <f>E32-E30</f>
        <v>535.74527</v>
      </c>
    </row>
  </sheetData>
  <mergeCells count="5">
    <mergeCell ref="A4:E4"/>
    <mergeCell ref="A2:E2"/>
    <mergeCell ref="A1:E1"/>
    <mergeCell ref="B25:D25"/>
    <mergeCell ref="B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2026-07-20T05:53:53Z</dcterms:created>
  <dcterms:modified xmlns:dcterms="http://purl.org/dc/terms/" xmlns:xsi="http://www.w3.org/2001/XMLSchema-instance" xsi:type="dcterms:W3CDTF">2026-07-20T05:53:53Z</dcterms:modified>
</cp:coreProperties>
</file>