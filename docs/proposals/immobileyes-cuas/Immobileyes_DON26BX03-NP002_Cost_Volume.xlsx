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ase" state="visible" r:id="rId5"/>
    <sheet sheetId="3" name="Option" state="visible" r:id="rId6"/>
  </sheets>
  <definedNames>
    <definedName name="_xlnm.Print_Area" localSheetId="0">'Summary'!$A1:$C4</definedName>
    <definedName name="_xlnm.Print_Area" localSheetId="1">'Base'!$A1:$D19</definedName>
    <definedName name="_xlnm.Print_Area" localSheetId="2">'Option'!$A1:$D20</definedName>
  </definedNames>
  <calcPr calcId="171027"/>
</workbook>
</file>

<file path=xl/sharedStrings.xml><?xml version="1.0" encoding="utf-8"?>
<sst xmlns="http://schemas.openxmlformats.org/spreadsheetml/2006/main" count="101" uniqueCount="36">
  <si>
    <t>Period</t>
  </si>
  <si>
    <t>Proposed Price</t>
  </si>
  <si>
    <t>Topic Ceiling (NTE)</t>
  </si>
  <si>
    <t>Phase I Base (6 months)</t>
  </si>
  <si>
    <t>Phase I Option (6 months)</t>
  </si>
  <si>
    <t>Phase I TOTAL (Base + Option)</t>
  </si>
  <si>
    <t>Cost Element</t>
  </si>
  <si>
    <t>Rate ($/hr)</t>
  </si>
  <si>
    <t>Hours</t>
  </si>
  <si>
    <t>Amount ($)</t>
  </si>
  <si>
    <t>Principal Investigator — Dr. Bahman Taheri</t>
  </si>
  <si>
    <t>Senior Optical Engineer — optical-effects lead</t>
  </si>
  <si>
    <t>Electrical Engineer — beam-router electronics</t>
  </si>
  <si>
    <t>Software Engineer — STORM tracking / control</t>
  </si>
  <si>
    <t>Program Manager — Atossa Alavi</t>
  </si>
  <si>
    <t>Total Direct Labor</t>
  </si>
  <si>
    <t/>
  </si>
  <si>
    <t>Fringe Benefits (35% of direct labor)</t>
  </si>
  <si>
    <t>Labor Overhead (77% of labor + fringe)</t>
  </si>
  <si>
    <t>Total Burdened Labor</t>
  </si>
  <si>
    <t>Materials &amp; Supplies (EO/FPV cameras, optics, laser diodes, LC samples)</t>
  </si>
  <si>
    <t>Travel / ODC (kick-off @ NAVAIR/NAVSEA; Tinker coordination)</t>
  </si>
  <si>
    <t>G&amp;A Base (burdened labor + materials + ODC)</t>
  </si>
  <si>
    <t>G&amp;A (40%)</t>
  </si>
  <si>
    <t>Total Cost</t>
  </si>
  <si>
    <t>Fee / Profit (7% of total cost)</t>
  </si>
  <si>
    <t>TOTAL PROPOSED PRICE — BASE</t>
  </si>
  <si>
    <t>Topic ceiling (NTE)</t>
  </si>
  <si>
    <t>Margin under ceiling</t>
  </si>
  <si>
    <t>Electrical Engineer — breadboard electronics</t>
  </si>
  <si>
    <t>Mechanical Engineer — breadboard fabrication</t>
  </si>
  <si>
    <t>Machine-shop Operator — fabrication</t>
  </si>
  <si>
    <t>Software Engineer — test automation</t>
  </si>
  <si>
    <t>Materials &amp; Supplies (breadboard optics, LC beam-router cells, laser, mounts)</t>
  </si>
  <si>
    <t>Travel / ODC (Phase II transition review)</t>
  </si>
  <si>
    <t>TOTAL PROPOSED PRICE —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</si>
</sst>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164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FormatPr defaultRowHeight="15" outlineLevelRow="0" outlineLevelCol="0" x14ac:dyDescent="55"/>
  <cols>
    <col min="1" max="1" width="31" customWidth="1"/>
    <col min="2" max="2" width="16" customWidth="1"/>
    <col min="3" max="3" width="2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f>'Base'!D17</f>
        <v>199501.73005</v>
      </c>
      <c r="C2" s="3">
        <v>200000</v>
      </c>
    </row>
    <row r="3" spans="1:3" x14ac:dyDescent="0.25">
      <c r="A3" s="2" t="s">
        <v>4</v>
      </c>
      <c r="B3" s="3">
        <f>'Option'!D18</f>
        <v>114464.25473</v>
      </c>
      <c r="C3" s="3">
        <v>115000</v>
      </c>
    </row>
    <row r="4" spans="1:3" x14ac:dyDescent="0.25">
      <c r="A4" s="4" t="s">
        <v>5</v>
      </c>
      <c r="B4" s="5">
        <f>'Base'!D17+'Option'!D18</f>
        <v>313965.98478</v>
      </c>
      <c r="C4" s="3">
        <v>315000</v>
      </c>
    </row>
  </sheetData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FormatPr defaultRowHeight="15" outlineLevelRow="0" outlineLevelCol="0" x14ac:dyDescent="55"/>
  <cols>
    <col min="1" max="1" width="50" customWidth="1"/>
    <col min="2" max="2" width="13" customWidth="1"/>
    <col min="3" max="3" width="12" customWidth="1"/>
    <col min="4" max="4" width="14" customWidth="1"/>
  </cols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s="2" t="s">
        <v>10</v>
      </c>
      <c r="B2" s="3">
        <v>63</v>
      </c>
      <c r="C2" s="6">
        <v>250</v>
      </c>
      <c r="D2" s="3">
        <f>B2*C2</f>
        <v>15750</v>
      </c>
    </row>
    <row r="3" spans="1:4" x14ac:dyDescent="0.25">
      <c r="A3" s="2" t="s">
        <v>11</v>
      </c>
      <c r="B3" s="3">
        <v>50</v>
      </c>
      <c r="C3" s="6">
        <v>320</v>
      </c>
      <c r="D3" s="3">
        <f>B3*C3</f>
        <v>16000</v>
      </c>
    </row>
    <row r="4" spans="1:4" x14ac:dyDescent="0.25">
      <c r="A4" s="2" t="s">
        <v>12</v>
      </c>
      <c r="B4" s="3">
        <v>45</v>
      </c>
      <c r="C4" s="6">
        <v>200</v>
      </c>
      <c r="D4" s="3">
        <f>B4*C4</f>
        <v>9000</v>
      </c>
    </row>
    <row r="5" spans="1:4" x14ac:dyDescent="0.25">
      <c r="A5" s="2" t="s">
        <v>13</v>
      </c>
      <c r="B5" s="3">
        <v>45</v>
      </c>
      <c r="C5" s="6">
        <v>140</v>
      </c>
      <c r="D5" s="3">
        <f>B5*C5</f>
        <v>6300</v>
      </c>
    </row>
    <row r="6" spans="1:4" x14ac:dyDescent="0.25">
      <c r="A6" s="2" t="s">
        <v>14</v>
      </c>
      <c r="B6" s="3">
        <v>50</v>
      </c>
      <c r="C6" s="6">
        <v>90</v>
      </c>
      <c r="D6" s="3">
        <f>B6*C6</f>
        <v>4500</v>
      </c>
    </row>
    <row r="7" spans="1:4" x14ac:dyDescent="0.25">
      <c r="A7" s="4" t="s">
        <v>15</v>
      </c>
      <c r="B7" s="2" t="s">
        <v>16</v>
      </c>
      <c r="C7" s="7">
        <f>SUM(C2:C6)</f>
        <v>1000</v>
      </c>
      <c r="D7" s="5">
        <f>SUM(D2:D6)</f>
        <v>51550</v>
      </c>
    </row>
    <row r="8" spans="1:4" x14ac:dyDescent="0.25">
      <c r="A8" s="2" t="s">
        <v>17</v>
      </c>
      <c r="B8" s="2" t="s">
        <v>16</v>
      </c>
      <c r="C8" s="2" t="s">
        <v>16</v>
      </c>
      <c r="D8" s="3">
        <f>D7*0.35</f>
        <v>18042.5</v>
      </c>
    </row>
    <row r="9" spans="1:4" x14ac:dyDescent="0.25">
      <c r="A9" s="2" t="s">
        <v>18</v>
      </c>
      <c r="B9" s="2" t="s">
        <v>16</v>
      </c>
      <c r="C9" s="2" t="s">
        <v>16</v>
      </c>
      <c r="D9" s="3">
        <f>(D7+D8)*0.77</f>
        <v>53586.225</v>
      </c>
    </row>
    <row r="10" spans="1:4" x14ac:dyDescent="0.25">
      <c r="A10" s="4" t="s">
        <v>19</v>
      </c>
      <c r="B10" s="2" t="s">
        <v>16</v>
      </c>
      <c r="C10" s="2" t="s">
        <v>16</v>
      </c>
      <c r="D10" s="5">
        <f>D7+D8+D9</f>
        <v>123178.725</v>
      </c>
    </row>
    <row r="11" spans="1:4" x14ac:dyDescent="0.25">
      <c r="A11" s="2" t="s">
        <v>20</v>
      </c>
      <c r="B11" s="2" t="s">
        <v>16</v>
      </c>
      <c r="C11" s="2" t="s">
        <v>16</v>
      </c>
      <c r="D11" s="3">
        <v>7000</v>
      </c>
    </row>
    <row r="12" spans="1:4" x14ac:dyDescent="0.25">
      <c r="A12" s="2" t="s">
        <v>21</v>
      </c>
      <c r="B12" s="2" t="s">
        <v>16</v>
      </c>
      <c r="C12" s="2" t="s">
        <v>16</v>
      </c>
      <c r="D12" s="3">
        <v>3000</v>
      </c>
    </row>
    <row r="13" spans="1:4" x14ac:dyDescent="0.25">
      <c r="A13" s="2" t="s">
        <v>22</v>
      </c>
      <c r="B13" s="2" t="s">
        <v>16</v>
      </c>
      <c r="C13" s="2" t="s">
        <v>16</v>
      </c>
      <c r="D13" s="3">
        <f>D10+D11+D12</f>
        <v>133178.725</v>
      </c>
    </row>
    <row r="14" spans="1:4" x14ac:dyDescent="0.25">
      <c r="A14" s="2" t="s">
        <v>23</v>
      </c>
      <c r="B14" s="2" t="s">
        <v>16</v>
      </c>
      <c r="C14" s="2" t="s">
        <v>16</v>
      </c>
      <c r="D14" s="3">
        <f>D13*0.4</f>
        <v>53271.49</v>
      </c>
    </row>
    <row r="15" spans="1:4" x14ac:dyDescent="0.25">
      <c r="A15" s="4" t="s">
        <v>24</v>
      </c>
      <c r="B15" s="2" t="s">
        <v>16</v>
      </c>
      <c r="C15" s="2" t="s">
        <v>16</v>
      </c>
      <c r="D15" s="5">
        <f>D13+D14</f>
        <v>186450.215</v>
      </c>
    </row>
    <row r="16" spans="1:4" x14ac:dyDescent="0.25">
      <c r="A16" s="2" t="s">
        <v>25</v>
      </c>
      <c r="B16" s="2" t="s">
        <v>16</v>
      </c>
      <c r="C16" s="2" t="s">
        <v>16</v>
      </c>
      <c r="D16" s="3">
        <f>D15*0.07</f>
        <v>13051.51505</v>
      </c>
    </row>
    <row r="17" spans="1:4" x14ac:dyDescent="0.25">
      <c r="A17" s="8" t="s">
        <v>26</v>
      </c>
      <c r="B17" s="2" t="s">
        <v>16</v>
      </c>
      <c r="C17" s="2" t="s">
        <v>16</v>
      </c>
      <c r="D17" s="9">
        <f>D15+D16</f>
        <v>199501.73005</v>
      </c>
    </row>
    <row r="18" spans="1:4" x14ac:dyDescent="0.25">
      <c r="A18" s="2" t="s">
        <v>27</v>
      </c>
      <c r="B18" s="2" t="s">
        <v>16</v>
      </c>
      <c r="C18" s="2" t="s">
        <v>16</v>
      </c>
      <c r="D18" s="3">
        <v>200000</v>
      </c>
    </row>
    <row r="19" spans="1:4" x14ac:dyDescent="0.25">
      <c r="A19" s="2" t="s">
        <v>28</v>
      </c>
      <c r="B19" s="2" t="s">
        <v>16</v>
      </c>
      <c r="C19" s="2" t="s">
        <v>16</v>
      </c>
      <c r="D19" s="3">
        <f>D18-D17</f>
        <v>498.26995</v>
      </c>
    </row>
  </sheetData>
  <pageMargins left="0.7" right="0.7" top="0.75" bottom="0.75" header="0.3" footer="0.3"/>
  <pageSetup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FormatPr defaultRowHeight="15" outlineLevelRow="0" outlineLevelCol="0" x14ac:dyDescent="55"/>
  <cols>
    <col min="1" max="1" width="50" customWidth="1"/>
    <col min="2" max="2" width="13" customWidth="1"/>
    <col min="3" max="3" width="12" customWidth="1"/>
    <col min="4" max="4" width="14" customWidth="1"/>
  </cols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s="2" t="s">
        <v>10</v>
      </c>
      <c r="B2" s="3">
        <v>63</v>
      </c>
      <c r="C2" s="6">
        <v>110</v>
      </c>
      <c r="D2" s="3">
        <f>B2*C2</f>
        <v>6930</v>
      </c>
    </row>
    <row r="3" spans="1:4" x14ac:dyDescent="0.25">
      <c r="A3" s="2" t="s">
        <v>11</v>
      </c>
      <c r="B3" s="3">
        <v>50</v>
      </c>
      <c r="C3" s="6">
        <v>200</v>
      </c>
      <c r="D3" s="3">
        <f>B3*C3</f>
        <v>10000</v>
      </c>
    </row>
    <row r="4" spans="1:4" x14ac:dyDescent="0.25">
      <c r="A4" s="2" t="s">
        <v>29</v>
      </c>
      <c r="B4" s="3">
        <v>45</v>
      </c>
      <c r="C4" s="6">
        <v>110</v>
      </c>
      <c r="D4" s="3">
        <f>B4*C4</f>
        <v>4950</v>
      </c>
    </row>
    <row r="5" spans="1:4" x14ac:dyDescent="0.25">
      <c r="A5" s="2" t="s">
        <v>30</v>
      </c>
      <c r="B5" s="3">
        <v>35</v>
      </c>
      <c r="C5" s="6">
        <v>90</v>
      </c>
      <c r="D5" s="3">
        <f>B5*C5</f>
        <v>3150</v>
      </c>
    </row>
    <row r="6" spans="1:4" x14ac:dyDescent="0.25">
      <c r="A6" s="2" t="s">
        <v>31</v>
      </c>
      <c r="B6" s="3">
        <v>30</v>
      </c>
      <c r="C6" s="6">
        <v>60</v>
      </c>
      <c r="D6" s="3">
        <f>B6*C6</f>
        <v>1800</v>
      </c>
    </row>
    <row r="7" spans="1:4" x14ac:dyDescent="0.25">
      <c r="A7" s="2" t="s">
        <v>32</v>
      </c>
      <c r="B7" s="3">
        <v>45</v>
      </c>
      <c r="C7" s="6">
        <v>40</v>
      </c>
      <c r="D7" s="3">
        <f>B7*C7</f>
        <v>1800</v>
      </c>
    </row>
    <row r="8" spans="1:4" x14ac:dyDescent="0.25">
      <c r="A8" s="4" t="s">
        <v>15</v>
      </c>
      <c r="B8" s="2" t="s">
        <v>16</v>
      </c>
      <c r="C8" s="7">
        <f>SUM(C2:C7)</f>
        <v>610</v>
      </c>
      <c r="D8" s="5">
        <f>SUM(D2:D7)</f>
        <v>28630</v>
      </c>
    </row>
    <row r="9" spans="1:4" x14ac:dyDescent="0.25">
      <c r="A9" s="2" t="s">
        <v>17</v>
      </c>
      <c r="B9" s="2" t="s">
        <v>16</v>
      </c>
      <c r="C9" s="2" t="s">
        <v>16</v>
      </c>
      <c r="D9" s="3">
        <f>D8*0.35</f>
        <v>10020.5</v>
      </c>
    </row>
    <row r="10" spans="1:4" x14ac:dyDescent="0.25">
      <c r="A10" s="2" t="s">
        <v>18</v>
      </c>
      <c r="B10" s="2" t="s">
        <v>16</v>
      </c>
      <c r="C10" s="2" t="s">
        <v>16</v>
      </c>
      <c r="D10" s="3">
        <f>(D8+D9)*0.77</f>
        <v>29760.885</v>
      </c>
    </row>
    <row r="11" spans="1:4" x14ac:dyDescent="0.25">
      <c r="A11" s="4" t="s">
        <v>19</v>
      </c>
      <c r="B11" s="2" t="s">
        <v>16</v>
      </c>
      <c r="C11" s="2" t="s">
        <v>16</v>
      </c>
      <c r="D11" s="5">
        <f>D8+D9+D10</f>
        <v>68411.385</v>
      </c>
    </row>
    <row r="12" spans="1:4" x14ac:dyDescent="0.25">
      <c r="A12" s="2" t="s">
        <v>33</v>
      </c>
      <c r="B12" s="2" t="s">
        <v>16</v>
      </c>
      <c r="C12" s="2" t="s">
        <v>16</v>
      </c>
      <c r="D12" s="3">
        <v>6000</v>
      </c>
    </row>
    <row r="13" spans="1:4" x14ac:dyDescent="0.25">
      <c r="A13" s="2" t="s">
        <v>34</v>
      </c>
      <c r="B13" s="2" t="s">
        <v>16</v>
      </c>
      <c r="C13" s="2" t="s">
        <v>16</v>
      </c>
      <c r="D13" s="3">
        <v>2000</v>
      </c>
    </row>
    <row r="14" spans="1:4" x14ac:dyDescent="0.25">
      <c r="A14" s="2" t="s">
        <v>22</v>
      </c>
      <c r="B14" s="2" t="s">
        <v>16</v>
      </c>
      <c r="C14" s="2" t="s">
        <v>16</v>
      </c>
      <c r="D14" s="3">
        <f>D11+D12+D13</f>
        <v>76411.385</v>
      </c>
    </row>
    <row r="15" spans="1:4" x14ac:dyDescent="0.25">
      <c r="A15" s="2" t="s">
        <v>23</v>
      </c>
      <c r="B15" s="2" t="s">
        <v>16</v>
      </c>
      <c r="C15" s="2" t="s">
        <v>16</v>
      </c>
      <c r="D15" s="3">
        <f>D14*0.4</f>
        <v>30564.554</v>
      </c>
    </row>
    <row r="16" spans="1:4" x14ac:dyDescent="0.25">
      <c r="A16" s="4" t="s">
        <v>24</v>
      </c>
      <c r="B16" s="2" t="s">
        <v>16</v>
      </c>
      <c r="C16" s="2" t="s">
        <v>16</v>
      </c>
      <c r="D16" s="5">
        <f>D14+D15</f>
        <v>106975.939</v>
      </c>
    </row>
    <row r="17" spans="1:4" x14ac:dyDescent="0.25">
      <c r="A17" s="2" t="s">
        <v>25</v>
      </c>
      <c r="B17" s="2" t="s">
        <v>16</v>
      </c>
      <c r="C17" s="2" t="s">
        <v>16</v>
      </c>
      <c r="D17" s="3">
        <f>D16*0.07</f>
        <v>7488.31573</v>
      </c>
    </row>
    <row r="18" spans="1:4" x14ac:dyDescent="0.25">
      <c r="A18" s="8" t="s">
        <v>35</v>
      </c>
      <c r="B18" s="2" t="s">
        <v>16</v>
      </c>
      <c r="C18" s="2" t="s">
        <v>16</v>
      </c>
      <c r="D18" s="9">
        <f>D16+D17</f>
        <v>114464.25473</v>
      </c>
    </row>
    <row r="19" spans="1:4" x14ac:dyDescent="0.25">
      <c r="A19" s="2" t="s">
        <v>27</v>
      </c>
      <c r="B19" s="2" t="s">
        <v>16</v>
      </c>
      <c r="C19" s="2" t="s">
        <v>16</v>
      </c>
      <c r="D19" s="3">
        <v>115000</v>
      </c>
    </row>
    <row r="20" spans="1:4" x14ac:dyDescent="0.25">
      <c r="A20" s="2" t="s">
        <v>28</v>
      </c>
      <c r="B20" s="2" t="s">
        <v>16</v>
      </c>
      <c r="C20" s="2" t="s">
        <v>16</v>
      </c>
      <c r="D20" s="3">
        <f>D19-D18</f>
        <v>535.74527</v>
      </c>
    </row>
  </sheetData>
  <pageMargins left="0.7" right="0.7" top="0.75" bottom="0.75" header="0.3" footer="0.3"/>
  <pageSetup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Base</vt:lpstr>
      <vt:lpstr>Option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Immobileyes, Inc.</dc:creator>
  <dc:title/>
  <dc:subject/>
  <dc:description/>
  <cp:keywords/>
  <cp:category/>
  <cp:lastModifiedBy>Unknown</cp:lastModifiedBy>
  <dcterms:created xsi:type="dcterms:W3CDTF">2026-07-20T16:51:22Z</dcterms:created>
  <dcterms:modified xsi:type="dcterms:W3CDTF">2026-07-20T16:51:22Z</dcterms:modified>
</cp:coreProperties>
</file>